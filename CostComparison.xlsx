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<sst xmlns="http://schemas.openxmlformats.org/spreadsheetml/2006/main" count="68" uniqueCount="65">
  <si>
    <t xml:space="preserve">Engage2 Document Search — Embedding &amp; Vector DB Cost Comparison (Annual)</t>
  </si>
  <si>
    <t xml:space="preserve">Assumptions (edit blue cells)</t>
  </si>
  <si>
    <t xml:space="preserve">No. of documents in Engage2</t>
  </si>
  <si>
    <t xml:space="preserve">Reg Affairs input</t>
  </si>
  <si>
    <t xml:space="preserve">Avg document size (pages)</t>
  </si>
  <si>
    <t xml:space="preserve">Tokens per page</t>
  </si>
  <si>
    <t xml:space="preserve">Std estimate for dense text (400–650)</t>
  </si>
  <si>
    <t xml:space="preserve">Tokens per chunk (embedding unit)</t>
  </si>
  <si>
    <t xml:space="preserve">Typical chunk size for retrieval</t>
  </si>
  <si>
    <t xml:space="preserve">Searches per day</t>
  </si>
  <si>
    <t xml:space="preserve">Tokens per search query</t>
  </si>
  <si>
    <t xml:space="preserve">Short keyword/phrase</t>
  </si>
  <si>
    <t xml:space="preserve">Working days per year</t>
  </si>
  <si>
    <t xml:space="preserve">Success-criteria sheet</t>
  </si>
  <si>
    <t xml:space="preserve">Annual re-indexing (% of corpus)</t>
  </si>
  <si>
    <t xml:space="preserve">Docs modified/updated per year</t>
  </si>
  <si>
    <t xml:space="preserve">Embedding dimensions</t>
  </si>
  <si>
    <t xml:space="preserve">Drives vector storage size</t>
  </si>
  <si>
    <t xml:space="preserve">Bytes per dimension (float32)</t>
  </si>
  <si>
    <t xml:space="preserve">4 bytes; +overhead below</t>
  </si>
  <si>
    <t xml:space="preserve">Index/storage overhead factor</t>
  </si>
  <si>
    <t xml:space="preserve">HNSW index + metadata</t>
  </si>
  <si>
    <t xml:space="preserve">Enterprise pgvector (EDB) subscription/yr</t>
  </si>
  <si>
    <t xml:space="preserve">EDB Postgres AI annual subscription (avg deal; range ~$13K–$223K). Fixed, not per-GB.</t>
  </si>
  <si>
    <t xml:space="preserve">Annual business benefit ($)</t>
  </si>
  <si>
    <t xml:space="preserve">From success-criteria sheet</t>
  </si>
  <si>
    <t xml:space="preserve">Derived Totals</t>
  </si>
  <si>
    <t xml:space="preserve">Total corpus tokens</t>
  </si>
  <si>
    <t xml:space="preserve">docs × pages × tokens/page</t>
  </si>
  <si>
    <t xml:space="preserve">Total vectors (chunks)</t>
  </si>
  <si>
    <t xml:space="preserve">corpus tokens ÷ tokens per chunk</t>
  </si>
  <si>
    <t xml:space="preserve">Annual re-index tokens</t>
  </si>
  <si>
    <t xml:space="preserve">Annual query tokens</t>
  </si>
  <si>
    <t xml:space="preserve">Vector storage size (GB)</t>
  </si>
  <si>
    <t xml:space="preserve">vectors × dims × bytes × overhead ÷ 1024³</t>
  </si>
  <si>
    <t xml:space="preserve">Annual vector DB cost (EDB subscription)</t>
  </si>
  <si>
    <t xml:space="preserve">Enterprise pgvector: fixed annual license, independent of model/dimensions</t>
  </si>
  <si>
    <t xml:space="preserve">Model</t>
  </si>
  <si>
    <t xml:space="preserve">Embed rate
($/1M, std)</t>
  </si>
  <si>
    <t xml:space="preserve">Batch rate
($/1M)</t>
  </si>
  <si>
    <t xml:space="preserve">Query
cost/yr</t>
  </si>
  <si>
    <t xml:space="preserve">Vector DB
storage/yr</t>
  </si>
  <si>
    <t xml:space="preserve">Year-1
TOTAL</t>
  </si>
  <si>
    <t xml:space="preserve">Ongoing
/yr</t>
  </si>
  <si>
    <t xml:space="preserve">Cost as %
of benefit</t>
  </si>
  <si>
    <t xml:space="preserve">Open-source, self-hosted (BGE-M3) — existing infra</t>
  </si>
  <si>
    <t xml:space="preserve">—</t>
  </si>
  <si>
    <t xml:space="preserve">OpenAI text-embedding-3-small</t>
  </si>
  <si>
    <t xml:space="preserve">Voyage voyage-4</t>
  </si>
  <si>
    <t xml:space="preserve">OpenAI text-embedding-3-large</t>
  </si>
  <si>
    <t xml:space="preserve">Voyage voyage-4-large</t>
  </si>
  <si>
    <t xml:space="preserve">Google Gemini (embedding-001)</t>
  </si>
  <si>
    <t xml:space="preserve">Cohere embed-v4</t>
  </si>
  <si>
    <t xml:space="preserve">Note: Open-source row assumes self-hosted on existing in-house GPU infra → $0 embedding cost. Vector DB = Enterprise pgvector (EDB) fixed annual subscription, shared across all models and independent of embedding dimensions.</t>
  </si>
  <si>
    <t xml:space="preserve">Sensitivity — Year-1 TOTAL vs tokens/page</t>
  </si>
  <si>
    <t xml:space="preserve">Tokens/page →</t>
  </si>
  <si>
    <t xml:space="preserve">Open-source (existing infra)</t>
  </si>
  <si>
    <t xml:space="preserve">OpenAI 3-small</t>
  </si>
  <si>
    <t xml:space="preserve">OpenAI 3-large</t>
  </si>
  <si>
    <t xml:space="preserve">Recommendation (Data Science view)</t>
  </si>
  <si>
    <t xml:space="preserve">•  Cost is NOT the deciding factor: every option lands at &lt;3% of the annual business benefit. Total spread across all 7 options is small relative to value delivered.</t>
  </si>
  <si>
    <t xml:space="preserve">•  Shortlist on non-cost criteria: (1) retrieval accuracy vs the 60% success threshold, (2) data residency — self-hosted keeps regulatory content in-house; APIs send document text out, (3) vendor lock-in / cost to re-embed if switching later.</t>
  </si>
  <si>
    <t xml:space="preserve">•  With open-source embedding at $0 and a fixed DB subscription, open-source self-hosted (BGE-M3) is the lowest total cost. Paid models add only their embedding cost on top of the same DB license.</t>
  </si>
  <si>
    <t xml:space="preserve">•  Vector DB is now a FIXED enterprise pgvector (EDB) subscription (~$83K/yr), the single largest line and identical across all models — so embedding-model choice barely moves total cost. Negotiate this license and right-size cores; it dominates the bill.</t>
  </si>
  <si>
    <t xml:space="preserve">•  Confirm assumptions before EXCO: tokens/page (500), chunk size (512), re-index rate (20%), and whether existing GPU infra is available (makes open-source ~$0).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</si>
</sst>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\x"/>
    <numFmt numFmtId="168" formatCode="\$#,##0;&quot;($&quot;#,##0\);\-"/>
    <numFmt numFmtId="169" formatCode="#,##0.0"/>
    <numFmt numFmtId="170" formatCode="0.0%"/>
    <numFmt numFmtId="171" formatCode="\$#,##0.00;&quot;($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6" min="5" style="1" width="11"/>
    <col collapsed="false" customWidth="true" hidden="false" outlineLevel="0" max="8" min="7" style="1" width="12"/>
    <col collapsed="false" customWidth="true" hidden="false" outlineLevel="0" max="10" min="9" style="1" width="11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  <c r="B3" s="3"/>
    </row>
    <row r="4" customFormat="false" ht="15" hidden="false" customHeight="true" outlineLevel="0" collapsed="false">
      <c r="A4" s="4" t="s">
        <v>2</v>
      </c>
      <c r="B4" s="5" t="n">
        <v>1000000</v>
      </c>
      <c r="C4" s="6" t="s">
        <v>3</v>
      </c>
      <c r="D4" s="6"/>
      <c r="E4" s="6"/>
    </row>
    <row r="5" customFormat="false" ht="15" hidden="false" customHeight="true" outlineLevel="0" collapsed="false">
      <c r="A5" s="4" t="s">
        <v>4</v>
      </c>
      <c r="B5" s="5" t="n">
        <v>50</v>
      </c>
      <c r="C5" s="6" t="s">
        <v>3</v>
      </c>
      <c r="D5" s="6"/>
      <c r="E5" s="6"/>
    </row>
    <row r="6" customFormat="false" ht="15" hidden="false" customHeight="true" outlineLevel="0" collapsed="false">
      <c r="A6" s="4" t="s">
        <v>5</v>
      </c>
      <c r="B6" s="5" t="n">
        <v>500</v>
      </c>
      <c r="C6" s="6" t="s">
        <v>6</v>
      </c>
      <c r="D6" s="6"/>
      <c r="E6" s="6"/>
    </row>
    <row r="7" customFormat="false" ht="15" hidden="false" customHeight="true" outlineLevel="0" collapsed="false">
      <c r="A7" s="4" t="s">
        <v>7</v>
      </c>
      <c r="B7" s="5" t="n">
        <v>512</v>
      </c>
      <c r="C7" s="6" t="s">
        <v>8</v>
      </c>
      <c r="D7" s="6"/>
      <c r="E7" s="6"/>
    </row>
    <row r="8" customFormat="false" ht="15" hidden="false" customHeight="true" outlineLevel="0" collapsed="false">
      <c r="A8" s="4" t="s">
        <v>9</v>
      </c>
      <c r="B8" s="5" t="n">
        <v>30</v>
      </c>
      <c r="C8" s="6" t="s">
        <v>3</v>
      </c>
      <c r="D8" s="6"/>
      <c r="E8" s="6"/>
    </row>
    <row r="9" customFormat="false" ht="15" hidden="false" customHeight="true" outlineLevel="0" collapsed="false">
      <c r="A9" s="4" t="s">
        <v>10</v>
      </c>
      <c r="B9" s="5" t="n">
        <v>20</v>
      </c>
      <c r="C9" s="6" t="s">
        <v>11</v>
      </c>
      <c r="D9" s="6"/>
      <c r="E9" s="6"/>
    </row>
    <row r="10" customFormat="false" ht="15" hidden="false" customHeight="true" outlineLevel="0" collapsed="false">
      <c r="A10" s="4" t="s">
        <v>12</v>
      </c>
      <c r="B10" s="5" t="n">
        <v>225</v>
      </c>
      <c r="C10" s="6" t="s">
        <v>13</v>
      </c>
      <c r="D10" s="6"/>
      <c r="E10" s="6"/>
    </row>
    <row r="11" customFormat="false" ht="15" hidden="false" customHeight="true" outlineLevel="0" collapsed="false">
      <c r="A11" s="4" t="s">
        <v>14</v>
      </c>
      <c r="B11" s="7" t="n">
        <v>0.2</v>
      </c>
      <c r="C11" s="6" t="s">
        <v>15</v>
      </c>
      <c r="D11" s="6"/>
      <c r="E11" s="6"/>
    </row>
    <row r="12" customFormat="false" ht="15" hidden="false" customHeight="true" outlineLevel="0" collapsed="false">
      <c r="A12" s="4" t="s">
        <v>16</v>
      </c>
      <c r="B12" s="5" t="n">
        <v>1536</v>
      </c>
      <c r="C12" s="6" t="s">
        <v>17</v>
      </c>
      <c r="D12" s="6"/>
      <c r="E12" s="6"/>
    </row>
    <row r="13" customFormat="false" ht="15" hidden="false" customHeight="true" outlineLevel="0" collapsed="false">
      <c r="A13" s="4" t="s">
        <v>18</v>
      </c>
      <c r="B13" s="5" t="n">
        <v>4</v>
      </c>
      <c r="C13" s="6" t="s">
        <v>19</v>
      </c>
      <c r="D13" s="6"/>
      <c r="E13" s="6"/>
    </row>
    <row r="14" customFormat="false" ht="15" hidden="false" customHeight="true" outlineLevel="0" collapsed="false">
      <c r="A14" s="4" t="s">
        <v>20</v>
      </c>
      <c r="B14" s="8" t="n">
        <v>1.3</v>
      </c>
      <c r="C14" s="6" t="s">
        <v>21</v>
      </c>
      <c r="D14" s="6"/>
      <c r="E14" s="6"/>
    </row>
    <row r="15" customFormat="false" ht="15" hidden="false" customHeight="true" outlineLevel="0" collapsed="false">
      <c r="A15" s="4" t="s">
        <v>22</v>
      </c>
      <c r="B15" s="9" t="n">
        <v>83000</v>
      </c>
      <c r="C15" s="6" t="s">
        <v>23</v>
      </c>
      <c r="D15" s="6"/>
      <c r="E15" s="6"/>
    </row>
    <row r="16" customFormat="false" ht="15" hidden="false" customHeight="true" outlineLevel="0" collapsed="false">
      <c r="A16" s="4" t="s">
        <v>24</v>
      </c>
      <c r="B16" s="9" t="n">
        <v>126600</v>
      </c>
      <c r="C16" s="6" t="s">
        <v>25</v>
      </c>
      <c r="D16" s="6"/>
      <c r="E16" s="6"/>
    </row>
    <row r="17" customFormat="false" ht="15" hidden="false" customHeight="true" outlineLevel="0" collapsed="false">
      <c r="C17" s="10"/>
      <c r="D17" s="10"/>
      <c r="E17" s="10"/>
    </row>
    <row r="18" customFormat="false" ht="15" hidden="false" customHeight="true" outlineLevel="0" collapsed="false">
      <c r="A18" s="3" t="s">
        <v>26</v>
      </c>
      <c r="B18" s="11"/>
      <c r="C18" s="10"/>
      <c r="D18" s="10"/>
      <c r="E18" s="10"/>
    </row>
    <row r="19" customFormat="false" ht="21.75" hidden="false" customHeight="true" outlineLevel="0" collapsed="false">
      <c r="A19" s="4" t="s">
        <v>27</v>
      </c>
      <c r="B19" s="12" t="n">
        <f aca="false">$B$4*$B$5*$B$6</f>
        <v>25000000000</v>
      </c>
      <c r="C19" s="13" t="s">
        <v>28</v>
      </c>
    </row>
    <row r="20" customFormat="false" ht="15" hidden="false" customHeight="true" outlineLevel="0" collapsed="false">
      <c r="A20" s="4" t="s">
        <v>29</v>
      </c>
      <c r="B20" s="1" t="n">
        <f aca="false">ROUND($B$19/$B$7,0)</f>
        <v>48828125</v>
      </c>
      <c r="C20" s="13" t="s">
        <v>30</v>
      </c>
    </row>
    <row r="21" customFormat="false" ht="15" hidden="false" customHeight="true" outlineLevel="0" collapsed="false">
      <c r="A21" s="4" t="s">
        <v>31</v>
      </c>
      <c r="B21" s="12" t="n">
        <f aca="false">$B$19*$B$11</f>
        <v>5000000000</v>
      </c>
      <c r="C21" s="10"/>
      <c r="D21" s="10"/>
      <c r="E21" s="10"/>
    </row>
    <row r="22" customFormat="false" ht="15" hidden="false" customHeight="true" outlineLevel="0" collapsed="false">
      <c r="A22" s="4" t="s">
        <v>32</v>
      </c>
      <c r="B22" s="12" t="n">
        <f aca="false">$B$8*$B$9*$B$10</f>
        <v>135000</v>
      </c>
      <c r="C22" s="10"/>
      <c r="D22" s="10"/>
      <c r="E22" s="10"/>
    </row>
    <row r="23" customFormat="false" ht="15" hidden="false" customHeight="true" outlineLevel="0" collapsed="false">
      <c r="A23" s="4" t="s">
        <v>33</v>
      </c>
      <c r="B23" s="14" t="n">
        <f aca="false">$B$20*$B$12*$B$13*$B$14/1073741824</f>
        <v>363.215804100037</v>
      </c>
      <c r="C23" s="13" t="s">
        <v>34</v>
      </c>
    </row>
    <row r="24" customFormat="false" ht="15" hidden="false" customHeight="true" outlineLevel="0" collapsed="false">
      <c r="A24" s="4" t="s">
        <v>35</v>
      </c>
      <c r="B24" s="15" t="n">
        <f aca="false">$B$15</f>
        <v>83000</v>
      </c>
      <c r="C24" s="13" t="s">
        <v>36</v>
      </c>
    </row>
    <row r="25" customFormat="false" ht="15" hidden="false" customHeight="true" outlineLevel="0" collapsed="false">
      <c r="C25" s="10"/>
      <c r="D25" s="10"/>
      <c r="E25" s="10"/>
    </row>
    <row r="26" customFormat="false" ht="15" hidden="false" customHeight="true" outlineLevel="0" collapsed="false">
      <c r="A26" s="16" t="s">
        <v>37</v>
      </c>
      <c r="B26" s="16" t="s">
        <v>38</v>
      </c>
      <c r="C26" s="16" t="s">
        <v>39</v>
      </c>
      <c r="D26" s="16"/>
      <c r="E26" s="16"/>
      <c r="F26" s="16" t="s">
        <v>40</v>
      </c>
      <c r="G26" s="16" t="s">
        <v>41</v>
      </c>
      <c r="H26" s="16" t="s">
        <v>42</v>
      </c>
      <c r="I26" s="16" t="s">
        <v>43</v>
      </c>
      <c r="J26" s="16" t="s">
        <v>44</v>
      </c>
    </row>
    <row r="27" customFormat="false" ht="26.25" hidden="false" customHeight="true" outlineLevel="0" collapsed="false">
      <c r="A27" s="17" t="s">
        <v>45</v>
      </c>
      <c r="B27" s="18" t="s">
        <v>46</v>
      </c>
      <c r="C27" s="18" t="s">
        <v>46</v>
      </c>
      <c r="D27" s="19" t="n">
        <v>0</v>
      </c>
      <c r="E27" s="19" t="n">
        <v>0</v>
      </c>
      <c r="F27" s="19" t="n">
        <v>0</v>
      </c>
      <c r="G27" s="15" t="n">
        <f aca="false">$B$24</f>
        <v>83000</v>
      </c>
      <c r="H27" s="19" t="n">
        <f aca="false">D27+E27+F27+G27</f>
        <v>83000</v>
      </c>
      <c r="I27" s="15" t="n">
        <f aca="false">E27+F27+G27</f>
        <v>83000</v>
      </c>
      <c r="J27" s="20" t="n">
        <f aca="false">H27/$B$16</f>
        <v>0.655608214849921</v>
      </c>
    </row>
    <row r="28" customFormat="false" ht="42" hidden="false" customHeight="true" outlineLevel="0" collapsed="false">
      <c r="A28" s="4" t="s">
        <v>47</v>
      </c>
      <c r="B28" s="21" t="n">
        <v>0.02</v>
      </c>
      <c r="C28" s="21" t="n">
        <v>0.01</v>
      </c>
      <c r="D28" s="15" t="n">
        <f aca="false">$B$19/1000000*C28</f>
        <v>250</v>
      </c>
      <c r="E28" s="15" t="n">
        <f aca="false">$B$21/1000000*C28</f>
        <v>50</v>
      </c>
      <c r="F28" s="22" t="n">
        <f aca="false">$B$22/1000000*B28</f>
        <v>0.0027</v>
      </c>
      <c r="G28" s="15" t="n">
        <f aca="false">$B$24</f>
        <v>83000</v>
      </c>
      <c r="H28" s="19" t="n">
        <f aca="false">D28+E28+F28+G28</f>
        <v>83300.0027</v>
      </c>
      <c r="I28" s="15" t="n">
        <f aca="false">E28+F28+G28</f>
        <v>83050.0027</v>
      </c>
      <c r="J28" s="20" t="n">
        <f aca="false">H28/$B$16</f>
        <v>0.657977904423381</v>
      </c>
    </row>
    <row r="29" customFormat="false" ht="26.25" hidden="false" customHeight="true" outlineLevel="0" collapsed="false">
      <c r="A29" s="4" t="s">
        <v>48</v>
      </c>
      <c r="B29" s="21" t="n">
        <v>0.06</v>
      </c>
      <c r="C29" s="21" t="n">
        <v>0.04</v>
      </c>
      <c r="D29" s="15" t="n">
        <f aca="false">$B$19/1000000*C29</f>
        <v>1000</v>
      </c>
      <c r="E29" s="15" t="n">
        <f aca="false">$B$21/1000000*C29</f>
        <v>200</v>
      </c>
      <c r="F29" s="22" t="n">
        <f aca="false">$B$22/1000000*B29</f>
        <v>0.0081</v>
      </c>
      <c r="G29" s="15" t="n">
        <f aca="false">$B$24</f>
        <v>83000</v>
      </c>
      <c r="H29" s="19" t="n">
        <f aca="false">D29+E29+F29+G29</f>
        <v>84200.0081</v>
      </c>
      <c r="I29" s="15" t="n">
        <f aca="false">E29+F29+G29</f>
        <v>83200.0081</v>
      </c>
      <c r="J29" s="20" t="n">
        <f aca="false">H29/$B$16</f>
        <v>0.665086951816746</v>
      </c>
    </row>
    <row r="30" customFormat="false" ht="15" hidden="false" customHeight="true" outlineLevel="0" collapsed="false">
      <c r="A30" s="4" t="s">
        <v>49</v>
      </c>
      <c r="B30" s="21" t="n">
        <v>0.13</v>
      </c>
      <c r="C30" s="21" t="n">
        <v>0.065</v>
      </c>
      <c r="D30" s="15" t="n">
        <f aca="false">$B$19/1000000*C30</f>
        <v>1625</v>
      </c>
      <c r="E30" s="15" t="n">
        <f aca="false">$B$21/1000000*C30</f>
        <v>325</v>
      </c>
      <c r="F30" s="22" t="n">
        <f aca="false">$B$22/1000000*B30</f>
        <v>0.01755</v>
      </c>
      <c r="G30" s="15" t="n">
        <f aca="false">$B$24</f>
        <v>83000</v>
      </c>
      <c r="H30" s="19" t="n">
        <f aca="false">D30+E30+F30+G30</f>
        <v>84950.01755</v>
      </c>
      <c r="I30" s="15" t="n">
        <f aca="false">E30+F30+G30</f>
        <v>83325.01755</v>
      </c>
      <c r="J30" s="20" t="n">
        <f aca="false">H30/$B$16</f>
        <v>0.671011197077409</v>
      </c>
    </row>
    <row r="31" customFormat="false" ht="15" hidden="false" customHeight="true" outlineLevel="0" collapsed="false">
      <c r="A31" s="4" t="s">
        <v>50</v>
      </c>
      <c r="B31" s="21" t="n">
        <v>0.12</v>
      </c>
      <c r="C31" s="21" t="n">
        <v>0.08</v>
      </c>
      <c r="D31" s="15" t="n">
        <f aca="false">$B$19/1000000*C31</f>
        <v>2000</v>
      </c>
      <c r="E31" s="15" t="n">
        <f aca="false">$B$21/1000000*C31</f>
        <v>400</v>
      </c>
      <c r="F31" s="22" t="n">
        <f aca="false">$B$22/1000000*B31</f>
        <v>0.0162</v>
      </c>
      <c r="G31" s="15" t="n">
        <f aca="false">$B$24</f>
        <v>83000</v>
      </c>
      <c r="H31" s="19" t="n">
        <f aca="false">D31+E31+F31+G31</f>
        <v>85400.0162</v>
      </c>
      <c r="I31" s="15" t="n">
        <f aca="false">E31+F31+G31</f>
        <v>83400.0162</v>
      </c>
      <c r="J31" s="20" t="n">
        <f aca="false">H31/$B$16</f>
        <v>0.67456568878357</v>
      </c>
    </row>
    <row r="32" customFormat="false" ht="15" hidden="false" customHeight="true" outlineLevel="0" collapsed="false">
      <c r="A32" s="4" t="s">
        <v>51</v>
      </c>
      <c r="B32" s="21" t="n">
        <v>0.15</v>
      </c>
      <c r="C32" s="21" t="n">
        <v>0.075</v>
      </c>
      <c r="D32" s="15" t="n">
        <f aca="false">$B$19/1000000*C32</f>
        <v>1875</v>
      </c>
      <c r="E32" s="15" t="n">
        <f aca="false">$B$21/1000000*C32</f>
        <v>375</v>
      </c>
      <c r="F32" s="22" t="n">
        <f aca="false">$B$22/1000000*B32</f>
        <v>0.02025</v>
      </c>
      <c r="G32" s="15" t="n">
        <f aca="false">$B$24</f>
        <v>83000</v>
      </c>
      <c r="H32" s="19" t="n">
        <f aca="false">D32+E32+F32+G32</f>
        <v>85250.02025</v>
      </c>
      <c r="I32" s="15" t="n">
        <f aca="false">E32+F32+G32</f>
        <v>83375.02025</v>
      </c>
      <c r="J32" s="20" t="n">
        <f aca="false">H32/$B$16</f>
        <v>0.673380886650869</v>
      </c>
    </row>
    <row r="33" customFormat="false" ht="15" hidden="false" customHeight="true" outlineLevel="0" collapsed="false">
      <c r="A33" s="4" t="s">
        <v>52</v>
      </c>
      <c r="B33" s="21" t="n">
        <v>0.12</v>
      </c>
      <c r="C33" s="21" t="n">
        <v>0.12</v>
      </c>
      <c r="D33" s="15" t="n">
        <f aca="false">$B$19/1000000*C33</f>
        <v>3000</v>
      </c>
      <c r="E33" s="15" t="n">
        <f aca="false">$B$21/1000000*C33</f>
        <v>600</v>
      </c>
      <c r="F33" s="22" t="n">
        <f aca="false">$B$22/1000000*B33</f>
        <v>0.0162</v>
      </c>
      <c r="G33" s="15" t="n">
        <f aca="false">$B$24</f>
        <v>83000</v>
      </c>
      <c r="H33" s="19" t="n">
        <f aca="false">D33+E33+F33+G33</f>
        <v>86600.0162</v>
      </c>
      <c r="I33" s="15" t="n">
        <f aca="false">E33+F33+G33</f>
        <v>83600.0162</v>
      </c>
      <c r="J33" s="20" t="n">
        <f aca="false">H33/$B$16</f>
        <v>0.684044361769352</v>
      </c>
    </row>
    <row r="34" customFormat="false" ht="15" hidden="false" customHeight="true" outlineLevel="0" collapsed="false">
      <c r="A34" s="13" t="s">
        <v>53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23" t="s">
        <v>54</v>
      </c>
      <c r="B36" s="23"/>
      <c r="C36" s="23"/>
      <c r="D36" s="23"/>
      <c r="E36" s="23"/>
      <c r="F36" s="23"/>
      <c r="G36" s="23"/>
      <c r="H36" s="23"/>
      <c r="I36" s="23"/>
      <c r="J36" s="23"/>
    </row>
    <row r="37" customFormat="false" ht="15" hidden="false" customHeight="true" outlineLevel="0" collapsed="false">
      <c r="A37" s="18" t="s">
        <v>55</v>
      </c>
      <c r="B37" s="24" t="n">
        <v>400</v>
      </c>
      <c r="C37" s="24" t="n">
        <v>500</v>
      </c>
      <c r="D37" s="24" t="n">
        <v>650</v>
      </c>
    </row>
    <row r="38" customFormat="false" ht="15" hidden="false" customHeight="true" outlineLevel="0" collapsed="false">
      <c r="A38" s="4" t="s">
        <v>56</v>
      </c>
      <c r="B38" s="15" t="n">
        <f aca="false">(D27+E27)*B$37/$B$6+F27+G27</f>
        <v>83000</v>
      </c>
      <c r="C38" s="15" t="n">
        <f aca="false">(D27+E27)*C$37/$B$6+F27+G27</f>
        <v>83000</v>
      </c>
      <c r="D38" s="15" t="n">
        <f aca="false">(D27+E27)*D$37/$B$6+F27+G27</f>
        <v>83000</v>
      </c>
    </row>
    <row r="39" customFormat="false" ht="15" hidden="false" customHeight="true" outlineLevel="0" collapsed="false">
      <c r="A39" s="4" t="s">
        <v>57</v>
      </c>
      <c r="B39" s="15" t="n">
        <f aca="false">(D28+E28)*B$37/$B$6+F28+G28</f>
        <v>83240.0027</v>
      </c>
      <c r="C39" s="15" t="n">
        <f aca="false">(D28+E28)*C$37/$B$6+F28+G28</f>
        <v>83300.0027</v>
      </c>
      <c r="D39" s="15" t="n">
        <f aca="false">(D28+E28)*D$37/$B$6+F28+G28</f>
        <v>83390.0027</v>
      </c>
    </row>
    <row r="40" customFormat="false" ht="15" hidden="false" customHeight="true" outlineLevel="0" collapsed="false">
      <c r="A40" s="4" t="s">
        <v>58</v>
      </c>
      <c r="B40" s="15" t="n">
        <f aca="false">(D30+E30)*B$37/$B$6+F30+G30</f>
        <v>84560.01755</v>
      </c>
      <c r="C40" s="15" t="n">
        <f aca="false">(D30+E30)*C$37/$B$6+F30+G30</f>
        <v>84950.01755</v>
      </c>
      <c r="D40" s="15" t="n">
        <f aca="false">(D30+E30)*D$37/$B$6+F30+G30</f>
        <v>85535.01755</v>
      </c>
    </row>
    <row r="41" customFormat="false" ht="15" hidden="false" customHeight="true" outlineLevel="0" collapsed="false"/>
    <row r="42" customFormat="false" ht="15" hidden="false" customHeight="true" outlineLevel="0" collapsed="false">
      <c r="A42" s="25" t="s">
        <v>59</v>
      </c>
      <c r="B42" s="26"/>
      <c r="C42" s="26"/>
      <c r="D42" s="26"/>
      <c r="E42" s="26"/>
      <c r="F42" s="26"/>
      <c r="G42" s="26"/>
      <c r="H42" s="26"/>
      <c r="I42" s="26"/>
      <c r="J42" s="11"/>
    </row>
    <row r="43" customFormat="false" ht="64.5" hidden="false" customHeight="true" outlineLevel="0" collapsed="false">
      <c r="A43" s="27" t="s">
        <v>60</v>
      </c>
    </row>
    <row r="44" customFormat="false" ht="21.75" hidden="false" customHeight="true" outlineLevel="0" collapsed="false">
      <c r="A44" s="28" t="s">
        <v>61</v>
      </c>
      <c r="B44" s="28"/>
      <c r="C44" s="28"/>
      <c r="D44" s="28"/>
      <c r="E44" s="28"/>
      <c r="F44" s="28"/>
      <c r="G44" s="28"/>
      <c r="H44" s="28"/>
      <c r="I44" s="28"/>
      <c r="J44" s="28"/>
    </row>
    <row r="45" customFormat="false" ht="30" hidden="false" customHeight="true" outlineLevel="0" collapsed="false">
      <c r="A45" s="28" t="s">
        <v>62</v>
      </c>
      <c r="B45" s="28"/>
      <c r="C45" s="28"/>
      <c r="D45" s="28"/>
      <c r="E45" s="28"/>
      <c r="F45" s="28"/>
      <c r="G45" s="28"/>
      <c r="H45" s="28"/>
      <c r="I45" s="28"/>
      <c r="J45" s="28"/>
    </row>
    <row r="46" customFormat="false" ht="30" hidden="false" customHeight="true" outlineLevel="0" collapsed="false">
      <c r="A46" s="28" t="s">
        <v>63</v>
      </c>
      <c r="B46" s="28"/>
      <c r="C46" s="28"/>
      <c r="D46" s="28"/>
      <c r="E46" s="28"/>
      <c r="F46" s="28"/>
      <c r="G46" s="28"/>
      <c r="H46" s="28"/>
      <c r="I46" s="28"/>
      <c r="J46" s="28"/>
    </row>
    <row r="47" customFormat="false" ht="30" hidden="false" customHeight="true" outlineLevel="0" collapsed="false">
      <c r="A47" s="28" t="s">
        <v>64</v>
      </c>
      <c r="B47" s="28"/>
      <c r="C47" s="28"/>
      <c r="D47" s="28"/>
      <c r="E47" s="28"/>
      <c r="F47" s="28"/>
      <c r="G47" s="28"/>
      <c r="H47" s="28"/>
      <c r="I47" s="28"/>
      <c r="J47" s="28"/>
    </row>
    <row r="48" customFormat="false" ht="30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30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</row>
  </sheetData>
  <mergeCells count="28">
    <mergeCell ref="A1:J1"/>
    <mergeCell ref="A3:B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21:E21"/>
    <mergeCell ref="C22:E22"/>
    <mergeCell ref="C25:E25"/>
    <mergeCell ref="C26:E26"/>
    <mergeCell ref="A36:J36"/>
    <mergeCell ref="A44:J44"/>
    <mergeCell ref="A45:J45"/>
    <mergeCell ref="A46:J46"/>
    <mergeCell ref="A47:J47"/>
    <mergeCell ref="A48:J48"/>
    <mergeCell ref="A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2026-09-15T13:38:50Z</dcterms:created>
  <dc:creator>openpyxl</dc:creator>
  <dc:description/>
  <dc:language>en-US</dc:language>
  <cp:lastModifiedBy/>
  <dcterms:modified xsi:type="dcterms:W3CDTF">2026-09-15T13:47:47Z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